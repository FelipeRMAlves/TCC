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/>
  <workbookPr/>
  <mc:AlternateContent xmlns:mc="http://schemas.openxmlformats.org/markup-compatibility/2006">
    <mc:Choice Requires="x15">
      <x15ac:absPath xmlns:x15ac="http://schemas.microsoft.com/office/spreadsheetml/2010/11/ac" url="C:\Users\felip\Desktop\"/>
    </mc:Choice>
  </mc:AlternateContent>
  <xr:revisionPtr revIDLastSave="0" documentId="13_ncr:1_{FC133AB0-2938-406D-B6C4-3F35FE8B0DE2}" xr6:coauthVersionLast="46" xr6:coauthVersionMax="46" xr10:uidLastSave="{00000000-0000-0000-0000-000000000000}"/>
  <bookViews>
    <workbookView xWindow="-120" yWindow="-120" windowWidth="20730" windowHeight="11160" activeTab="3" xr2:uid="{00000000-000D-0000-FFFF-FFFF00000000}"/>
  </bookViews>
  <sheets>
    <sheet name="Plan1" sheetId="1" r:id="rId1"/>
    <sheet name="matrizes esparsas" sheetId="2" r:id="rId2"/>
    <sheet name="Planilha2" sheetId="3" r:id="rId3"/>
    <sheet name="comparativo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5" l="1"/>
  <c r="I7" i="5"/>
  <c r="I6" i="5"/>
  <c r="H6" i="5"/>
  <c r="G5" i="2"/>
  <c r="E4" i="1"/>
  <c r="E3" i="1"/>
</calcChain>
</file>

<file path=xl/sharedStrings.xml><?xml version="1.0" encoding="utf-8"?>
<sst xmlns="http://schemas.openxmlformats.org/spreadsheetml/2006/main" count="35" uniqueCount="33">
  <si>
    <t>Ansys</t>
  </si>
  <si>
    <t>Código</t>
  </si>
  <si>
    <t>Erro relativo (%)</t>
  </si>
  <si>
    <t>Temperatura</t>
  </si>
  <si>
    <t>Máxima</t>
  </si>
  <si>
    <t>Final</t>
  </si>
  <si>
    <t>Equação transiente</t>
  </si>
  <si>
    <t>Total</t>
  </si>
  <si>
    <t>Esparsas</t>
  </si>
  <si>
    <t>Eq. transiente</t>
  </si>
  <si>
    <t>3D</t>
  </si>
  <si>
    <t>Comuns</t>
  </si>
  <si>
    <t>Matrizes</t>
  </si>
  <si>
    <t>[s/it]</t>
  </si>
  <si>
    <t>Assembling  [it/s]</t>
  </si>
  <si>
    <t>Tempo [min]</t>
  </si>
  <si>
    <t xml:space="preserve"> 2D</t>
  </si>
  <si>
    <t>Nota [*] - Tempo estimado pela velocidade da Eq. transiente.</t>
  </si>
  <si>
    <t>Implícito</t>
  </si>
  <si>
    <t>explícito</t>
  </si>
  <si>
    <t>50.82min</t>
  </si>
  <si>
    <t>1.6s/it</t>
  </si>
  <si>
    <t>Temperatura máxima</t>
  </si>
  <si>
    <t>Tempo total</t>
  </si>
  <si>
    <t>Crank-nicholson</t>
  </si>
  <si>
    <t>Temperatura final</t>
  </si>
  <si>
    <t>Simulação</t>
  </si>
  <si>
    <t>#1</t>
  </si>
  <si>
    <t>#2</t>
  </si>
  <si>
    <t>#3</t>
  </si>
  <si>
    <t>Temperaturas  [ºC]</t>
  </si>
  <si>
    <t>Espessura do disco [mm]</t>
  </si>
  <si>
    <t xml:space="preserve">Nota [*]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</si>
</sst>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0.000"/>
    <numFmt numFmtId="166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MU Serif"/>
      <family val="3"/>
    </font>
    <font>
      <sz val="11"/>
      <name val="CMU Serif"/>
      <family val="3"/>
    </font>
    <font>
      <b/>
      <sz val="11"/>
      <color theme="1"/>
      <name val="CMU Serif"/>
      <family val="3"/>
    </font>
    <font>
      <b/>
      <sz val="11"/>
      <name val="CMU Serif"/>
      <family val="3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1" fillId="0" borderId="0" xfId="0" applyFont="1"/>
    <xf numFmtId="0" fontId="3" fillId="0" borderId="2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4"/>
  <sheetViews>
    <sheetView workbookViewId="0">
      <selection activeCell="D13" sqref="D13"/>
    </sheetView>
  </sheetViews>
  <sheetFormatPr defaultRowHeight="15" x14ac:dyDescent="0.25"/>
  <cols>
    <col min="2" max="2" width="18" customWidth="1"/>
    <col min="3" max="4" width="10.28515625" customWidth="1"/>
    <col min="5" max="5" width="15.42578125" bestFit="1" customWidth="1"/>
  </cols>
  <sheetData>
    <row r="2" spans="2:5" x14ac:dyDescent="0.25">
      <c r="B2" s="1" t="s">
        <v>3</v>
      </c>
      <c r="C2" s="1" t="s">
        <v>0</v>
      </c>
      <c r="D2" s="1" t="s">
        <v>1</v>
      </c>
      <c r="E2" s="1" t="s">
        <v>2</v>
      </c>
    </row>
    <row r="3" spans="2:5" x14ac:dyDescent="0.25">
      <c r="B3" s="1" t="s">
        <v>4</v>
      </c>
      <c r="C3" s="2">
        <v>196.95</v>
      </c>
      <c r="D3" s="3">
        <v>196.798</v>
      </c>
      <c r="E3" s="4">
        <f>ABS(100*(C3-D3)/C3)</f>
        <v>7.7176948464070486E-2</v>
      </c>
    </row>
    <row r="4" spans="2:5" x14ac:dyDescent="0.25">
      <c r="B4" s="1" t="s">
        <v>5</v>
      </c>
      <c r="C4" s="1">
        <v>195.42</v>
      </c>
      <c r="D4" s="1">
        <v>196.012</v>
      </c>
      <c r="E4" s="4">
        <f>ABS(100*(C4-D4)/C4)</f>
        <v>0.30293726333026966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2412-8B14-4216-8B25-78302A5C6482}">
  <dimension ref="C3:G7"/>
  <sheetViews>
    <sheetView showGridLines="0" zoomScale="130" zoomScaleNormal="130" workbookViewId="0">
      <selection activeCell="C3" sqref="C3:G7"/>
    </sheetView>
  </sheetViews>
  <sheetFormatPr defaultRowHeight="15" x14ac:dyDescent="0.25"/>
  <cols>
    <col min="3" max="3" width="11.28515625" customWidth="1"/>
    <col min="4" max="5" width="13.140625" customWidth="1"/>
    <col min="6" max="7" width="16.42578125" customWidth="1"/>
  </cols>
  <sheetData>
    <row r="3" spans="3:7" ht="15.75" x14ac:dyDescent="0.3">
      <c r="C3" s="18" t="s">
        <v>12</v>
      </c>
      <c r="D3" s="16" t="s">
        <v>14</v>
      </c>
      <c r="E3" s="17"/>
      <c r="F3" s="12" t="s">
        <v>13</v>
      </c>
      <c r="G3" s="12" t="s">
        <v>15</v>
      </c>
    </row>
    <row r="4" spans="3:7" ht="15.75" x14ac:dyDescent="0.3">
      <c r="C4" s="19"/>
      <c r="D4" s="13" t="s">
        <v>10</v>
      </c>
      <c r="E4" s="13" t="s">
        <v>16</v>
      </c>
      <c r="F4" s="12" t="s">
        <v>9</v>
      </c>
      <c r="G4" s="13" t="s">
        <v>7</v>
      </c>
    </row>
    <row r="5" spans="3:7" x14ac:dyDescent="0.25">
      <c r="C5" s="6" t="s">
        <v>11</v>
      </c>
      <c r="D5" s="6">
        <v>6117</v>
      </c>
      <c r="E5" s="7">
        <v>5715.333333333333</v>
      </c>
      <c r="F5" s="6">
        <v>87.4</v>
      </c>
      <c r="G5" s="8" t="str">
        <f>ROUNDUP((F5*190)+5.84/60,0) &amp; " [*]"</f>
        <v>16607 [*]</v>
      </c>
    </row>
    <row r="6" spans="3:7" x14ac:dyDescent="0.25">
      <c r="C6" s="6" t="s">
        <v>8</v>
      </c>
      <c r="D6" s="8">
        <v>2085</v>
      </c>
      <c r="E6" s="8">
        <v>6219.14</v>
      </c>
      <c r="F6" s="9">
        <v>1</v>
      </c>
      <c r="G6" s="6">
        <v>3.19</v>
      </c>
    </row>
    <row r="7" spans="3:7" x14ac:dyDescent="0.25">
      <c r="C7" s="10" t="s">
        <v>17</v>
      </c>
      <c r="D7" s="10"/>
      <c r="E7" s="10"/>
      <c r="F7" s="10"/>
      <c r="G7" s="10"/>
    </row>
  </sheetData>
  <mergeCells count="2">
    <mergeCell ref="D3:E3"/>
    <mergeCell ref="C3:C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A47C-7A23-4277-B394-87325699AA21}">
  <dimension ref="B2:F7"/>
  <sheetViews>
    <sheetView workbookViewId="0">
      <selection activeCell="C7" sqref="C7"/>
    </sheetView>
  </sheetViews>
  <sheetFormatPr defaultRowHeight="15" x14ac:dyDescent="0.25"/>
  <cols>
    <col min="2" max="2" width="20.140625" bestFit="1" customWidth="1"/>
    <col min="5" max="5" width="15.42578125" bestFit="1" customWidth="1"/>
  </cols>
  <sheetData>
    <row r="2" spans="2:6" x14ac:dyDescent="0.25">
      <c r="B2" s="5"/>
      <c r="C2" s="5" t="s">
        <v>18</v>
      </c>
      <c r="D2" s="5" t="s">
        <v>19</v>
      </c>
      <c r="E2" s="5" t="s">
        <v>24</v>
      </c>
      <c r="F2" s="5"/>
    </row>
    <row r="3" spans="2:6" x14ac:dyDescent="0.25">
      <c r="B3" s="5" t="s">
        <v>23</v>
      </c>
      <c r="C3" s="5">
        <v>55.27</v>
      </c>
      <c r="D3" s="5" t="s">
        <v>20</v>
      </c>
      <c r="E3" s="5">
        <v>52.44</v>
      </c>
      <c r="F3" s="5"/>
    </row>
    <row r="4" spans="2:6" x14ac:dyDescent="0.25">
      <c r="B4" s="5" t="s">
        <v>6</v>
      </c>
      <c r="C4" s="5">
        <v>1.72</v>
      </c>
      <c r="D4" s="5" t="s">
        <v>21</v>
      </c>
      <c r="E4" s="5">
        <v>1.62</v>
      </c>
      <c r="F4" s="5"/>
    </row>
    <row r="5" spans="2:6" x14ac:dyDescent="0.25">
      <c r="B5" s="5" t="s">
        <v>22</v>
      </c>
      <c r="C5" s="5">
        <v>196.798</v>
      </c>
      <c r="D5" s="5">
        <v>196.8</v>
      </c>
      <c r="E5" s="5">
        <v>196.79900000000001</v>
      </c>
      <c r="F5" s="5"/>
    </row>
    <row r="6" spans="2:6" x14ac:dyDescent="0.25">
      <c r="B6" s="5" t="s">
        <v>25</v>
      </c>
      <c r="C6" s="5">
        <v>196.012</v>
      </c>
      <c r="D6" s="5"/>
      <c r="E6" s="5">
        <v>196.01400000000001</v>
      </c>
      <c r="F6" s="5"/>
    </row>
    <row r="7" spans="2:6" x14ac:dyDescent="0.25">
      <c r="B7" s="5"/>
      <c r="C7" s="5"/>
      <c r="D7" s="5"/>
      <c r="E7" s="5"/>
      <c r="F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CC3F-2417-426C-A447-8161D69EE318}">
  <dimension ref="C3:I8"/>
  <sheetViews>
    <sheetView showGridLines="0" tabSelected="1" zoomScale="130" zoomScaleNormal="130" workbookViewId="0">
      <selection activeCell="E13" sqref="E13"/>
    </sheetView>
  </sheetViews>
  <sheetFormatPr defaultRowHeight="15" x14ac:dyDescent="0.25"/>
  <cols>
    <col min="3" max="3" width="11.28515625" customWidth="1"/>
    <col min="4" max="4" width="28.85546875" bestFit="1" customWidth="1"/>
    <col min="5" max="6" width="16.42578125" customWidth="1"/>
  </cols>
  <sheetData>
    <row r="3" spans="3:9" ht="15.75" x14ac:dyDescent="0.3">
      <c r="C3" s="18" t="s">
        <v>26</v>
      </c>
      <c r="D3" s="11" t="s">
        <v>31</v>
      </c>
      <c r="E3" s="16" t="s">
        <v>30</v>
      </c>
      <c r="F3" s="17"/>
    </row>
    <row r="4" spans="3:9" ht="15.75" x14ac:dyDescent="0.3">
      <c r="C4" s="19"/>
      <c r="D4" s="13"/>
      <c r="E4" s="13" t="s">
        <v>4</v>
      </c>
      <c r="F4" s="13" t="s">
        <v>5</v>
      </c>
    </row>
    <row r="5" spans="3:9" x14ac:dyDescent="0.25">
      <c r="C5" s="6" t="s">
        <v>27</v>
      </c>
      <c r="D5" s="6">
        <v>4</v>
      </c>
      <c r="E5" s="20">
        <v>169.91587745063501</v>
      </c>
      <c r="F5" s="14">
        <v>168.631</v>
      </c>
      <c r="H5" s="15"/>
      <c r="I5" s="15"/>
    </row>
    <row r="6" spans="3:9" x14ac:dyDescent="0.25">
      <c r="C6" s="6" t="s">
        <v>28</v>
      </c>
      <c r="D6" s="8">
        <v>5</v>
      </c>
      <c r="E6" s="14">
        <v>145.15700000000001</v>
      </c>
      <c r="F6" s="14">
        <v>142.15199999999999</v>
      </c>
      <c r="H6" s="15">
        <f>E6-E5</f>
        <v>-24.758877450634998</v>
      </c>
      <c r="I6" s="15">
        <f>F6-F5</f>
        <v>-26.479000000000013</v>
      </c>
    </row>
    <row r="7" spans="3:9" x14ac:dyDescent="0.25">
      <c r="C7" s="6" t="s">
        <v>29</v>
      </c>
      <c r="D7" s="8">
        <v>10</v>
      </c>
      <c r="E7" s="14">
        <v>118.23</v>
      </c>
      <c r="F7" s="14">
        <v>88.823999999999998</v>
      </c>
      <c r="H7" s="15">
        <f>E7-E6</f>
        <v>-26.927000000000007</v>
      </c>
      <c r="I7" s="15">
        <f>F7-F6</f>
        <v>-53.327999999999989</v>
      </c>
    </row>
    <row r="8" spans="3:9" x14ac:dyDescent="0.25">
      <c r="C8" s="10" t="s">
        <v>32</v>
      </c>
      <c r="D8" s="10"/>
      <c r="E8" s="10"/>
      <c r="F8" s="10"/>
    </row>
  </sheetData>
  <mergeCells count="2">
    <mergeCell ref="C3:C4"/>
    <mergeCell ref="E3:F3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matrizes esparsas</vt:lpstr>
      <vt:lpstr>Planilha2</vt:lpstr>
      <vt:lpstr>comparativo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Rodrigues de Mello Alves</dc:creator>
  <cp:lastModifiedBy>Felipe Rodrigues de Mello Alves</cp:lastModifiedBy>
  <dcterms:created xsi:type="dcterms:W3CDTF">2015-06-05T18:19:34Z</dcterms:created>
  <dcterms:modified xsi:type="dcterms:W3CDTF">2021-05-01T16:48:20Z</dcterms:modified>
</cp:coreProperties>
</file>